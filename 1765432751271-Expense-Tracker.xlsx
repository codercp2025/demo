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CCF30B-AB9B-4CA7-9666-A602995F5FB3}" xr6:coauthVersionLast="36" xr6:coauthVersionMax="47" xr10:uidLastSave="{00000000-0000-0000-0000-000000000000}"/>
  <bookViews>
    <workbookView xWindow="0" yWindow="0" windowWidth="16457" windowHeight="5554" tabRatio="622" xr2:uid="{00000000-000D-0000-FFFF-FFFF00000000}"/>
  </bookViews>
  <sheets>
    <sheet name="12-December" sheetId="1" r:id="rId1"/>
    <sheet name="13-Dec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E3" i="1"/>
  <c r="E4" i="1"/>
  <c r="E5" i="1"/>
  <c r="E6" i="1"/>
  <c r="E7" i="1"/>
  <c r="E8" i="1"/>
  <c r="K14" i="1" s="1"/>
  <c r="E9" i="1"/>
  <c r="E10" i="1"/>
  <c r="E11" i="1"/>
  <c r="E2" i="1"/>
  <c r="F3" i="1"/>
  <c r="F4" i="1"/>
  <c r="F5" i="1"/>
  <c r="F6" i="1"/>
  <c r="F7" i="1"/>
  <c r="F8" i="1"/>
  <c r="K15" i="1" s="1"/>
  <c r="F9" i="1"/>
  <c r="F10" i="1"/>
  <c r="F11" i="1"/>
  <c r="F2" i="1"/>
  <c r="G3" i="1"/>
  <c r="G4" i="1"/>
  <c r="G5" i="1"/>
  <c r="G6" i="1"/>
  <c r="G7" i="1"/>
  <c r="G8" i="1"/>
  <c r="K16" i="1" s="1"/>
  <c r="G9" i="1"/>
  <c r="G10" i="1"/>
  <c r="G11" i="1"/>
  <c r="G2" i="1"/>
  <c r="H3" i="1"/>
  <c r="H4" i="1"/>
  <c r="H5" i="1"/>
  <c r="H6" i="1"/>
  <c r="H7" i="1"/>
  <c r="H8" i="1"/>
  <c r="K17" i="1" s="1"/>
  <c r="H9" i="1"/>
  <c r="H10" i="1"/>
  <c r="H11" i="1"/>
  <c r="H2" i="1"/>
  <c r="L16" i="1" l="1"/>
  <c r="L14" i="1"/>
  <c r="L17" i="1"/>
  <c r="L15" i="1"/>
</calcChain>
</file>

<file path=xl/sharedStrings.xml><?xml version="1.0" encoding="utf-8"?>
<sst xmlns="http://schemas.openxmlformats.org/spreadsheetml/2006/main" count="38" uniqueCount="29">
  <si>
    <t>Description</t>
  </si>
  <si>
    <t>Type</t>
  </si>
  <si>
    <t>Amount</t>
  </si>
  <si>
    <t>S.No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</si>
  <si>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</si>
  <si>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</si>
  <si>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</si>
  <si>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</si>
  <si>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</si>
  <si>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</si>
  <si>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</si>
  <si>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</si>
  <si>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</si>
  <si>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</si>
  <si>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for the Day</t>
  </si>
  <si>
    <t>Dinner</t>
  </si>
  <si>
    <t>Birthday of a friend</t>
  </si>
  <si>
    <t>fun</t>
  </si>
  <si>
    <t>Average Transaction Value</t>
  </si>
  <si>
    <t>Food Expenses</t>
  </si>
  <si>
    <t>Food</t>
  </si>
  <si>
    <t>Fun Expenses</t>
  </si>
  <si>
    <t>Fun</t>
  </si>
  <si>
    <t>Office</t>
  </si>
  <si>
    <t>Investment</t>
  </si>
  <si>
    <t>Office Expense</t>
  </si>
  <si>
    <t>Investments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</si>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</sst>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0" xfId="0" applyFill="1" applyBorder="1"/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70" zoomScaleNormal="70" workbookViewId="0">
      <selection activeCell="L16" sqref="L16"/>
    </sheetView>
  </sheetViews>
  <sheetFormatPr defaultRowHeight="14.6" x14ac:dyDescent="0.4"/>
  <cols>
    <col min="1" max="1" width="9.23046875" style="15"/>
    <col min="2" max="2" width="18.15234375" style="15" customWidth="1"/>
    <col min="3" max="3" width="12.3046875" style="15" customWidth="1"/>
    <col min="4" max="7" width="9.23046875" style="15"/>
    <col min="8" max="8" width="13.3828125" style="15" customWidth="1"/>
    <col min="10" max="10" width="18.15234375" customWidth="1"/>
    <col min="11" max="11" width="10.69140625" customWidth="1"/>
    <col min="12" max="12" width="14.3046875" customWidth="1"/>
  </cols>
  <sheetData>
    <row r="1" spans="1:12" s="1" customFormat="1" x14ac:dyDescent="0.4">
      <c r="A1" s="13" t="s">
        <v>3</v>
      </c>
      <c r="B1" s="13" t="s">
        <v>0</v>
      </c>
      <c r="C1" s="13" t="s">
        <v>1</v>
      </c>
      <c r="D1" s="13" t="s">
        <v>2</v>
      </c>
      <c r="E1" s="13" t="s">
        <v>20</v>
      </c>
      <c r="F1" s="13" t="s">
        <v>22</v>
      </c>
      <c r="G1" s="13" t="s">
        <v>23</v>
      </c>
      <c r="H1" s="13" t="s">
        <v>24</v>
      </c>
    </row>
    <row r="2" spans="1:12" x14ac:dyDescent="0.4">
      <c r="A2" s="14">
        <v>1</v>
      </c>
      <c r="B2" s="14" t="s">
        <v>4</v>
      </c>
      <c r="C2" s="14" t="s">
        <v>5</v>
      </c>
      <c r="D2" s="14">
        <v>15</v>
      </c>
      <c r="E2" s="14">
        <f>COUNTIF(C2, "food") *D2</f>
        <v>15</v>
      </c>
      <c r="F2" s="14">
        <f>COUNTIF(C2, "fun") *D2</f>
        <v>0</v>
      </c>
      <c r="G2" s="14">
        <f>COUNTIF(C2, "office") *D2</f>
        <v>0</v>
      </c>
      <c r="H2" s="14">
        <f>COUNTIF(C2, "investment") *D2</f>
        <v>0</v>
      </c>
    </row>
    <row r="3" spans="1:12" x14ac:dyDescent="0.4">
      <c r="A3" s="14">
        <v>2</v>
      </c>
      <c r="B3" s="14" t="s">
        <v>6</v>
      </c>
      <c r="C3" s="14" t="s">
        <v>5</v>
      </c>
      <c r="D3" s="14">
        <v>8</v>
      </c>
      <c r="E3" s="14">
        <f t="shared" ref="E3:E11" si="0">COUNTIF(C3, "food") *D3</f>
        <v>8</v>
      </c>
      <c r="F3" s="14">
        <f t="shared" ref="F3:F11" si="1">COUNTIF(C3, "fun") *D3</f>
        <v>0</v>
      </c>
      <c r="G3" s="14">
        <f t="shared" ref="G3:G11" si="2">COUNTIF(C3, "office") *D3</f>
        <v>0</v>
      </c>
      <c r="H3" s="14">
        <f t="shared" ref="H3:H11" si="3">COUNTIF(C3, "investment") *D3</f>
        <v>0</v>
      </c>
    </row>
    <row r="4" spans="1:12" x14ac:dyDescent="0.4">
      <c r="A4" s="14">
        <v>3</v>
      </c>
      <c r="B4" s="14" t="s">
        <v>7</v>
      </c>
      <c r="C4" s="14" t="s">
        <v>5</v>
      </c>
      <c r="D4" s="14">
        <v>20</v>
      </c>
      <c r="E4" s="14">
        <f t="shared" si="0"/>
        <v>20</v>
      </c>
      <c r="F4" s="14">
        <f t="shared" si="1"/>
        <v>0</v>
      </c>
      <c r="G4" s="14">
        <f t="shared" si="2"/>
        <v>0</v>
      </c>
      <c r="H4" s="14">
        <f t="shared" si="3"/>
        <v>0</v>
      </c>
    </row>
    <row r="5" spans="1:12" x14ac:dyDescent="0.4">
      <c r="A5" s="14">
        <v>4</v>
      </c>
      <c r="B5" s="14" t="s">
        <v>8</v>
      </c>
      <c r="C5" s="14" t="s">
        <v>5</v>
      </c>
      <c r="D5" s="14">
        <v>80</v>
      </c>
      <c r="E5" s="14">
        <f t="shared" si="0"/>
        <v>80</v>
      </c>
      <c r="F5" s="14">
        <f t="shared" si="1"/>
        <v>0</v>
      </c>
      <c r="G5" s="14">
        <f t="shared" si="2"/>
        <v>0</v>
      </c>
      <c r="H5" s="14">
        <f t="shared" si="3"/>
        <v>0</v>
      </c>
    </row>
    <row r="6" spans="1:12" x14ac:dyDescent="0.4">
      <c r="A6" s="14">
        <v>5</v>
      </c>
      <c r="B6" s="14" t="s">
        <v>4</v>
      </c>
      <c r="C6" s="14" t="s">
        <v>5</v>
      </c>
      <c r="D6" s="14">
        <v>10</v>
      </c>
      <c r="E6" s="14">
        <f t="shared" si="0"/>
        <v>10</v>
      </c>
      <c r="F6" s="14">
        <f t="shared" si="1"/>
        <v>0</v>
      </c>
      <c r="G6" s="14">
        <f t="shared" si="2"/>
        <v>0</v>
      </c>
      <c r="H6" s="14">
        <f t="shared" si="3"/>
        <v>0</v>
      </c>
    </row>
    <row r="7" spans="1:12" x14ac:dyDescent="0.4">
      <c r="A7" s="14">
        <v>6</v>
      </c>
      <c r="B7" s="14" t="s">
        <v>9</v>
      </c>
      <c r="C7" s="14" t="s">
        <v>10</v>
      </c>
      <c r="D7" s="14">
        <v>40</v>
      </c>
      <c r="E7" s="14">
        <f t="shared" si="0"/>
        <v>0</v>
      </c>
      <c r="F7" s="14">
        <f t="shared" si="1"/>
        <v>0</v>
      </c>
      <c r="G7" s="14">
        <f t="shared" si="2"/>
        <v>40</v>
      </c>
      <c r="H7" s="14">
        <f t="shared" si="3"/>
        <v>0</v>
      </c>
    </row>
    <row r="8" spans="1:12" x14ac:dyDescent="0.4">
      <c r="A8" s="14">
        <v>7</v>
      </c>
      <c r="B8" s="14" t="s">
        <v>11</v>
      </c>
      <c r="C8" s="14" t="s">
        <v>12</v>
      </c>
      <c r="D8" s="14">
        <v>1000</v>
      </c>
      <c r="E8" s="14">
        <f t="shared" si="0"/>
        <v>0</v>
      </c>
      <c r="F8" s="14">
        <f t="shared" si="1"/>
        <v>0</v>
      </c>
      <c r="G8" s="14">
        <f t="shared" si="2"/>
        <v>0</v>
      </c>
      <c r="H8" s="14">
        <f t="shared" si="3"/>
        <v>1000</v>
      </c>
    </row>
    <row r="9" spans="1:12" x14ac:dyDescent="0.4">
      <c r="A9" s="14">
        <v>8</v>
      </c>
      <c r="B9" s="14" t="s">
        <v>13</v>
      </c>
      <c r="C9" s="14" t="s">
        <v>12</v>
      </c>
      <c r="D9" s="14">
        <v>2000</v>
      </c>
      <c r="E9" s="14">
        <f t="shared" si="0"/>
        <v>0</v>
      </c>
      <c r="F9" s="14">
        <f t="shared" si="1"/>
        <v>0</v>
      </c>
      <c r="G9" s="14">
        <f t="shared" si="2"/>
        <v>0</v>
      </c>
      <c r="H9" s="14">
        <f t="shared" si="3"/>
        <v>2000</v>
      </c>
    </row>
    <row r="10" spans="1:12" ht="15" thickBot="1" x14ac:dyDescent="0.45">
      <c r="A10" s="14">
        <v>9</v>
      </c>
      <c r="B10" s="14" t="s">
        <v>15</v>
      </c>
      <c r="C10" s="14" t="s">
        <v>5</v>
      </c>
      <c r="D10" s="14">
        <v>90</v>
      </c>
      <c r="E10" s="14">
        <f t="shared" si="0"/>
        <v>90</v>
      </c>
      <c r="F10" s="14">
        <f t="shared" si="1"/>
        <v>0</v>
      </c>
      <c r="G10" s="14">
        <f t="shared" si="2"/>
        <v>0</v>
      </c>
      <c r="H10" s="14">
        <f t="shared" si="3"/>
        <v>0</v>
      </c>
    </row>
    <row r="11" spans="1:12" ht="15" thickBot="1" x14ac:dyDescent="0.45">
      <c r="A11" s="14">
        <v>10</v>
      </c>
      <c r="B11" s="14" t="s">
        <v>16</v>
      </c>
      <c r="C11" s="14" t="s">
        <v>17</v>
      </c>
      <c r="D11" s="14">
        <v>300</v>
      </c>
      <c r="E11" s="14">
        <f t="shared" si="0"/>
        <v>0</v>
      </c>
      <c r="F11" s="14">
        <f t="shared" si="1"/>
        <v>300</v>
      </c>
      <c r="G11" s="14">
        <f t="shared" si="2"/>
        <v>0</v>
      </c>
      <c r="H11" s="14">
        <f t="shared" si="3"/>
        <v>0</v>
      </c>
      <c r="J11" s="12"/>
      <c r="K11" s="16" t="s">
        <v>2</v>
      </c>
      <c r="L11" s="17" t="s">
        <v>27</v>
      </c>
    </row>
    <row r="12" spans="1:12" x14ac:dyDescent="0.4">
      <c r="J12" s="7" t="s">
        <v>14</v>
      </c>
      <c r="K12" s="6">
        <f>SUM(D2:D11)</f>
        <v>3563</v>
      </c>
      <c r="L12" s="10" t="s">
        <v>28</v>
      </c>
    </row>
    <row r="13" spans="1:12" ht="29.15" x14ac:dyDescent="0.4">
      <c r="J13" s="8" t="s">
        <v>18</v>
      </c>
      <c r="K13" s="2">
        <f>AVERAGE(D2:D11)</f>
        <v>356.3</v>
      </c>
      <c r="L13" s="11" t="s">
        <v>28</v>
      </c>
    </row>
    <row r="14" spans="1:12" x14ac:dyDescent="0.4">
      <c r="J14" s="8" t="s">
        <v>19</v>
      </c>
      <c r="K14" s="2">
        <f>SUM(E2:E11)</f>
        <v>223</v>
      </c>
      <c r="L14" s="3">
        <f>100* K14/SUM($K$14:$K$17)</f>
        <v>6.2587706988492844</v>
      </c>
    </row>
    <row r="15" spans="1:12" x14ac:dyDescent="0.4">
      <c r="J15" s="8" t="s">
        <v>21</v>
      </c>
      <c r="K15" s="2">
        <f>SUM(F2:F11)</f>
        <v>300</v>
      </c>
      <c r="L15" s="3">
        <f t="shared" ref="L15:L17" si="4">100* K15/SUM($K$14:$K$17)</f>
        <v>8.419870895312938</v>
      </c>
    </row>
    <row r="16" spans="1:12" x14ac:dyDescent="0.4">
      <c r="J16" s="8" t="s">
        <v>25</v>
      </c>
      <c r="K16" s="2">
        <f>SUM(G2:G11)</f>
        <v>40</v>
      </c>
      <c r="L16" s="3">
        <f t="shared" si="4"/>
        <v>1.1226494527083919</v>
      </c>
    </row>
    <row r="17" spans="10:12" ht="15" thickBot="1" x14ac:dyDescent="0.45">
      <c r="J17" s="9" t="s">
        <v>26</v>
      </c>
      <c r="K17" s="4">
        <f>SUM(H2:H11)</f>
        <v>3000</v>
      </c>
      <c r="L17" s="5">
        <f t="shared" si="4"/>
        <v>84.198708953129383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D63F-A284-4844-B1E7-FAC6D504808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12-December</vt:lpstr>
      <vt:lpstr>13-December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hp</cp:lastModifiedBy>
  <dcterms:created xsi:type="dcterms:W3CDTF">2015-06-05T18:17:20Z</dcterms:created>
  <dcterms:modified xsi:type="dcterms:W3CDTF">2026-02-04T14:30:14Z</dcterms:modified>
</cp:coreProperties>
</file>